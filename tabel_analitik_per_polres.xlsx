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tron\Downloads\sawit lagi\"/>
    </mc:Choice>
  </mc:AlternateContent>
  <xr:revisionPtr revIDLastSave="0" documentId="13_ncr:1_{08E253F7-6FB9-4059-8E15-F867B4140AC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Tabel Analitik Polres" sheetId="1" r:id="rId1"/>
    <sheet name="Ranking &amp; Chart" sheetId="2" r:id="rId2"/>
    <sheet name="Matriks Klaster" sheetId="3" r:id="rId3"/>
    <sheet name="Kasus LP per Polres" sheetId="4" r:id="rId4"/>
    <sheet name="Temuan Kunci" sheetId="5" r:id="rId5"/>
    <sheet name="Metodologi" sheetId="6" r:id="rId6"/>
  </sheets>
  <definedNames>
    <definedName name="_xlnm._FilterDatabase" localSheetId="0" hidden="1">'Tabel Analitik Polres'!$A$4:$AC$16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tc={E5433C09-3E0C-4825-8D2E-093434AAF401}</author>
    <author>tc={61EB76CF-35CE-4BE3-919E-B1B71D034800}</author>
    <author>tc={D4EE765E-D720-42F9-8A12-253A0B2432CD}</author>
    <author>tc={0D8A1004-F00B-4B4A-91D6-2BFF82E37E33}</author>
  </authors>
  <commentList>
    <comment ref="K3" authorId="0" shapeId="0" xr:uid="{E5433C09-3E0C-4825-8D2E-093434AA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Dari baseline Intelkam (12.02.2026) untuk 130 perusahaan Agrinas–KSO
Reply:
    Merah = COUNT(kebun di polres X dengan klaster = Merah)
Kuning  = COUNT(... = Kuning)
Hijau   = COUNT(... = Hijau)
Klaster Lain = COUNT(... bukan Merah/Kuning/Hijau)
Cek: Merah + Kuning + Hijau + Klaster Lain = Jml Kebun (matriks)</t>
      </text>
    </comment>
    <comment ref="E4" authorId="1" shapeId="0" xr:uid="{61EB76CF-35CE-4BE3-919E-B1B71D034800}">
      <text>
        <t>[Threaded comment]
Your version of Excel allows you to read this threaded comment; however, any edits to it will get removed if the file is opened in a newer version of Excel. Learn more: https://go.microsoft.com/fwlink/?linkid=870924
Comment:
    Skor Risiko =  (Merah × 5)
+ (Kuning × 2)
+ (Jml Kasus/LP × 1,5)
+ (Kasus Kekerasan × 2)
+ (1 jika Sinyal Konflik memuat "MD", selain itu 0)</t>
      </text>
    </comment>
    <comment ref="J4" authorId="2" shapeId="0" xr:uid="{D4EE765E-D720-42F9-8A12-253A0B2432CD}">
      <text>
        <t>[Threaded comment]
Your version of Excel allows you to read this threaded comment; however, any edits to it will get removed if the file is opened in a newer version of Excel. Learn more: https://go.microsoft.com/fwlink/?linkid=870924
Comment:
    % KSO vs Sita = (Σ luas_kso_ha ÷ Σ luas_sita_ha) × 100
Contoh Rohul: luas KSO 19.243 Ha ÷ luas sita 51.473 Ha ≈ 37,4% — sekitar sepertiga luas sitaan yang tercatat sudah masuk KSO di matriks.</t>
      </text>
    </comment>
    <comment ref="R4" authorId="3" shapeId="0" xr:uid="{0D8A1004-F00B-4B4A-91D6-2BFF82E37E33}">
      <text>
        <t>[Threaded comment]
Your version of Excel allows you to read this threaded comment; however, any edits to it will get removed if the file is opened in a newer version of Excel. Learn more: https://go.microsoft.com/fwlink/?linkid=870924
Comment:
    Di luar tiga kategori di atas: Satgas PKH, dikembalikan, masyarakat, campuran, kosong/—, NIHIL, non-sawit</t>
      </text>
    </comment>
  </commentList>
</comments>
</file>

<file path=xl/sharedStrings.xml><?xml version="1.0" encoding="utf-8"?>
<sst xmlns="http://schemas.openxmlformats.org/spreadsheetml/2006/main" count="318" uniqueCount="211">
  <si>
    <t>TABEL ANALITIK AGRINAS–KSO PER POLRES — POLDA RIAU</t>
  </si>
  <si>
    <t>Diturunkan dari matriks_agrinas_kso_12_polres.xlsx · Periode data dominan 2024–Jul 2026 · Dihasilkan 2026-08-03 · Agregat ganda dikecualikan dari penjumlahan Ha</t>
  </si>
  <si>
    <t>IDENTITAS</t>
  </si>
  <si>
    <t>VOLUME KEBUN &amp; LUAS</t>
  </si>
  <si>
    <t>KLASTER RISIKO</t>
  </si>
  <si>
    <t>STATUS KSO</t>
  </si>
  <si>
    <t>KONFLIK &amp; LP</t>
  </si>
  <si>
    <t>NARASI ANALITIK</t>
  </si>
  <si>
    <t>No</t>
  </si>
  <si>
    <t>Polres</t>
  </si>
  <si>
    <t>Level Prioritas</t>
  </si>
  <si>
    <t>Prioritas HARDA</t>
  </si>
  <si>
    <t>Skor Risiko</t>
  </si>
  <si>
    <t>Jml Kebun (matriks)</t>
  </si>
  <si>
    <t>Jml Kebun (Intelkam)</t>
  </si>
  <si>
    <t>Luas Sita (Ha)</t>
  </si>
  <si>
    <t>Luas KSO (Ha)</t>
  </si>
  <si>
    <t>% KSO vs Sita</t>
  </si>
  <si>
    <t>Merah</t>
  </si>
  <si>
    <t>Kuning</t>
  </si>
  <si>
    <t>Hijau</t>
  </si>
  <si>
    <t>Klaster Lain</t>
  </si>
  <si>
    <t>Sudah KSO</t>
  </si>
  <si>
    <t>Belum KSO</t>
  </si>
  <si>
    <t>Langsung Agrinas</t>
  </si>
  <si>
    <t>Satgas/Lain</t>
  </si>
  <si>
    <t>Kebun Ada Isu</t>
  </si>
  <si>
    <t>Jml Kasus/LP</t>
  </si>
  <si>
    <t>Kasus Kekerasan</t>
  </si>
  <si>
    <t>Kasus TBS/Panen</t>
  </si>
  <si>
    <t>Konflik Resume (Intelkam)</t>
  </si>
  <si>
    <t>Sinyal Konflik</t>
  </si>
  <si>
    <t>Tipologi Dominan</t>
  </si>
  <si>
    <t>Isu Kebun Utama</t>
  </si>
  <si>
    <t>Highlight LP</t>
  </si>
  <si>
    <t>Kualitas Data</t>
  </si>
  <si>
    <t>Catatan Analitik</t>
  </si>
  <si>
    <t>Rohul</t>
  </si>
  <si>
    <t>P1 — Sangat Tinggi</t>
  </si>
  <si>
    <t>Sangat tinggi</t>
  </si>
  <si>
    <t>Sangat tinggi (MD)</t>
  </si>
  <si>
    <t>Bentrok PAM swakarsa; penolakan KSO; panen sepihak Torganda</t>
  </si>
  <si>
    <t>Bentrok PAM 7 Feb 2026; 1 MD + 6 luka; PAM non-BUJP Nias; Pengusiran panen; PAM PP Rohul; LP pengrusakan mess</t>
  </si>
  <si>
    <t>Serangan massal barak/mess terkait klaim KSO Agrinas; Hentikan panen Agrinas; ambil ~208 tandan</t>
  </si>
  <si>
    <t>Kuat</t>
  </si>
  <si>
    <t>Kasus MD Majuma; 12 KSO; 4 LP P21</t>
  </si>
  <si>
    <t>Bengkalis</t>
  </si>
  <si>
    <t>Bentrok KSO PAB-SIS; penolakan KSO; Mutiara Naga Jul 2026</t>
  </si>
  <si>
    <t>Bentrok Des 2025–Mei 2026; pos dibakar; multi-LP; Kondusif</t>
  </si>
  <si>
    <t>Bentrok perebutan lahan sitaan PKH; Pertahankan TBS</t>
  </si>
  <si>
    <t>Inkonsistensi klaster kuning pada kartu vs resume</t>
  </si>
  <si>
    <t>Rohil</t>
  </si>
  <si>
    <t>Penolakan KSO; bentrok panen; PAM non-BUJP</t>
  </si>
  <si>
    <t>Bentrok 20 Okt 2025 vs W. Siringo; 7 luka; PAM non-BUJP Flores; Penolakan penyerahan KSO</t>
  </si>
  <si>
    <t>Panen sepihak TBS vs pembubaran security; Detail nomor LP tidak tersedia di sumber</t>
  </si>
  <si>
    <t>Sedang</t>
  </si>
  <si>
    <t>1 merah (UTS); detail LP Agrinas tipis di Bismillah</t>
  </si>
  <si>
    <t>Kampar</t>
  </si>
  <si>
    <t>P2 — Tinggi</t>
  </si>
  <si>
    <t>Tinggi</t>
  </si>
  <si>
    <t>Tinggi (LP bersih)</t>
  </si>
  <si>
    <t>Klaim ganda + pencurian di Johan Sentosa; penolakan Gapoktan/KSO</t>
  </si>
  <si>
    <t>5 LP Jun 2026 pencurian/pengeroyokan terkait klaim ganda; Luas terbesar di daftar Kampar Agrinas</t>
  </si>
  <si>
    <t>Pencurian buah sawit terkait klaim ganda; Korban tangkap pencuri lalu dikeroyok</t>
  </si>
  <si>
    <t>Intelkam 4 kebun vs lokal 21 estate Agrinas 29rb Ha</t>
  </si>
  <si>
    <t>Kuansing</t>
  </si>
  <si>
    <t>Tinggi (pidana berulang)</t>
  </si>
  <si>
    <t>Pencurian TBS berulang + potensi TNTN/Pesikaian + tuntutan 20% WJT</t>
  </si>
  <si>
    <t>Banyak LP pencurian TBS 2023-2026; Tuntutan masyarakat 20%; komunikasi tertutup; banyak LP</t>
  </si>
  <si>
    <t>Pencurian berulang di areal yang kemudian dikelola Agrinas; Bagi hasil &amp; relokasi lahan sitaan tidak clear</t>
  </si>
  <si>
    <t>Log LP 2020-2026 kaya; bedakan pidana vs struktural</t>
  </si>
  <si>
    <t>Dumai</t>
  </si>
  <si>
    <t>Bentrok perebutan kerja/lahan antar pengelola</t>
  </si>
  <si>
    <t>Bentrok tumpang tindih lahan; take-over Feb 2026; Bentrok perebutan pekerjaan</t>
  </si>
  <si>
    <t>Tumpang tindih lahan / take-over KSO</t>
  </si>
  <si>
    <t>DMMP overlap pencatatan dengan Bengkalis</t>
  </si>
  <si>
    <t>Inhu</t>
  </si>
  <si>
    <t>Tinggi (volume+narasi)</t>
  </si>
  <si>
    <t>Plasma/MHA/tuntutan kelola; bentrok pemanen</t>
  </si>
  <si>
    <t>Tuntutan plasma masyarakat (lokal); Sengketa 560 Ha; panen paksa Apr 2026; bentrok; LP pencurian TBS</t>
  </si>
  <si>
    <t>Sengketa 560 Ha; bentrok panen; Minta kelola bersama lahan KSO</t>
  </si>
  <si>
    <t>Volume kebun tertinggi; LP formal jarang di sumber lokal</t>
  </si>
  <si>
    <t>Pelalawan</t>
  </si>
  <si>
    <t>Tinggi (dimensi TNTN)</t>
  </si>
  <si>
    <t>Sedang (TNTN tinggi)</t>
  </si>
  <si>
    <t>TNTN kawasan hutan; LP KSO tipis; semua KSO hijau</t>
  </si>
  <si>
    <t>Sebagian luas di Inhu</t>
  </si>
  <si>
    <t>Saling lapor; di Bunut sudah berdamai; 8 unjuk rasa; 3 tolak portal; 5 usir Satgas; 2 spontan; 1 intimidasi</t>
  </si>
  <si>
    <t>Tipis (KSO) / Kuat (TNTN)</t>
  </si>
  <si>
    <t>Pisahkan analisis KSO hijau vs konflik TNTN</t>
  </si>
  <si>
    <t>Inhil</t>
  </si>
  <si>
    <t>P3 — Sedang</t>
  </si>
  <si>
    <t>Sedang-tinggi</t>
  </si>
  <si>
    <t>Tuntutan kembalikan kelola; pemanenan KSO vs eks-perusahaan</t>
  </si>
  <si>
    <t>Tuntutan kembalikan ke KPCH; Pemanenan TBS duga KSO Mei 2026; tahap penyelidikan</t>
  </si>
  <si>
    <t>~1,1 ton TBS dipanen non-karyawan</t>
  </si>
  <si>
    <t>Intelkam lebih kaya dari PDF konflik lokal (hanya 2 baris)</t>
  </si>
  <si>
    <t>Siak</t>
  </si>
  <si>
    <t>Rendah-sedang (admin)</t>
  </si>
  <si>
    <t>Sengketa administratif/HTI lebih dominan ketimbang KSO Agrinas</t>
  </si>
  <si>
    <t>Kolom luas tabel Siak kacau; Sengketa admin Setda; angka 62.193 Ha OCR suspect</t>
  </si>
  <si>
    <t>Mayoritas bukan KSO Agrinas sawit; satu kasus anarkis bakar kantor PT SSL</t>
  </si>
  <si>
    <t>Tipis</t>
  </si>
  <si>
    <t>Tabel luas tidak dapat dijumlah</t>
  </si>
  <si>
    <t>Kep. Meranti</t>
  </si>
  <si>
    <t>P4 — Rendah</t>
  </si>
  <si>
    <t>Rendah (gap-fill)</t>
  </si>
  <si>
    <t>Nihil/rendah</t>
  </si>
  <si>
    <t>NIHIL lokal; 1 perusahaan Intelkam hijau</t>
  </si>
  <si>
    <t>Intelkam 1 perusahaan; laporan lokal NIHIL semua klaster</t>
  </si>
  <si>
    <t>Semua klaster konflik NIHIL di laporan lokal</t>
  </si>
  <si>
    <t>Jangan over-infer dari NIHIL</t>
  </si>
  <si>
    <t>Pekanbaru</t>
  </si>
  <si>
    <t>Rendah (monitoring)</t>
  </si>
  <si>
    <t>Nihil Agrinas</t>
  </si>
  <si>
    <t>Pencurian TBS masyarakat non-Agrinas</t>
  </si>
  <si>
    <t>Tidak ada sitaan PKH/Agrinas/KSO tercatat</t>
  </si>
  <si>
    <t>Pidana oportunistik; Intelkam sebut TP Agrinas NIHIL</t>
  </si>
  <si>
    <t>Bedakan pidana biasa vs konflik Agrinas-KSO</t>
  </si>
  <si>
    <t>TOTAL / CATATAN</t>
  </si>
  <si>
    <t>Jumlah Ha mengecualikan baris agregat (Rohil agregat sitaan; Pelalawan agregat TNTN). Jml Intelkam = angka resume resmi (bisa &gt; baris matriks).</t>
  </si>
  <si>
    <t>LEGENDA PRIORITAS</t>
  </si>
  <si>
    <t>Rohul (MD), Rohil, Bengkalis — bentrok/PAM/korban</t>
  </si>
  <si>
    <t>Inhu, Kuansing, Kampar, Dumai, Pelalawan (TNTN)</t>
  </si>
  <si>
    <t>Inhil, Siak</t>
  </si>
  <si>
    <t>Kep. Meranti, Pekanbaru (NIHIL Agrinas/KSO)</t>
  </si>
  <si>
    <t>Skor Risiko = (Merah×5) + (Kuning×2) + (Jml Kasus×1,5) + (Kasus Kekerasan×2) + bonus MD</t>
  </si>
  <si>
    <t>RANKING PRIORITAS OPERASIONAL PER POLRES</t>
  </si>
  <si>
    <t>Urutan untuk penempatan perhatian HARDA / Intelkam / Binmas berbasis skor komposit</t>
  </si>
  <si>
    <t>Peringkat</t>
  </si>
  <si>
    <t>Level</t>
  </si>
  <si>
    <t>Merah+Kuning</t>
  </si>
  <si>
    <t>MATRIKS KLASTER RISIKO × POLRES</t>
  </si>
  <si>
    <t>Hitungan dari baris kebun matriks (agregat dikecualikan); bandingkan dengan kolom Intelkam di Tabel Analitik</t>
  </si>
  <si>
    <t>Lainnya/NIHIL</t>
  </si>
  <si>
    <t>Total Kebun</t>
  </si>
  <si>
    <t>% Merah+Kuning</t>
  </si>
  <si>
    <t>Interpretasi</t>
  </si>
  <si>
    <t>Hotspot kritis — ada klaster merah</t>
  </si>
  <si>
    <t>Tekanan kuning tinggi — pantau ketat</t>
  </si>
  <si>
    <t>Spot kuning — intervensi terarah</t>
  </si>
  <si>
    <t>Mayoritas hijau — validasi vs kejadian aktual</t>
  </si>
  <si>
    <t>NIHIL / di luar cakupan KSO</t>
  </si>
  <si>
    <t>REKAPITULASI KASUS / LP PER POLRES</t>
  </si>
  <si>
    <t>Agregat dari sheet kasus_lp; detail nomor LP tetap di file sumber</t>
  </si>
  <si>
    <t>Jml Entri</t>
  </si>
  <si>
    <t>Kekerasan/Bentrok</t>
  </si>
  <si>
    <t>TBS/Panen</t>
  </si>
  <si>
    <t>Kait Agrinas/KSO</t>
  </si>
  <si>
    <t>Status Proses Dominan</t>
  </si>
  <si>
    <t>Kasus Terberat (dampak)</t>
  </si>
  <si>
    <t>Kepercayaan Data</t>
  </si>
  <si>
    <t>P21</t>
  </si>
  <si>
    <t>1 MD + 6 luka</t>
  </si>
  <si>
    <t>kuat</t>
  </si>
  <si>
    <t>2 diamankan</t>
  </si>
  <si>
    <t>3 luka; 13 mobil dirusak</t>
  </si>
  <si>
    <t>RJ selesai</t>
  </si>
  <si>
    <t>7 luka</t>
  </si>
  <si>
    <t>Sidik</t>
  </si>
  <si>
    <t>Luka</t>
  </si>
  <si>
    <t>Campuran tipiring/selesai/lidik</t>
  </si>
  <si>
    <t>Kerugian kecil-sedang; beberapa angka 2024 DITOLAK</t>
  </si>
  <si>
    <t>—</t>
  </si>
  <si>
    <t>Bentrok fisik</t>
  </si>
  <si>
    <t>sedang</t>
  </si>
  <si>
    <t>Mediasi</t>
  </si>
  <si>
    <t>Bentrok</t>
  </si>
  <si>
    <t>Damai parsial</t>
  </si>
  <si>
    <t>6 tersangka perusakan; 3 tersangka KSDAE</t>
  </si>
  <si>
    <t>Penyelidikan</t>
  </si>
  <si>
    <t>Mediasi/RDP</t>
  </si>
  <si>
    <t>Pembakaran kantor SSL</t>
  </si>
  <si>
    <t>Campuran</t>
  </si>
  <si>
    <t>Rugi kecil; RJ/tipiring</t>
  </si>
  <si>
    <t>TEMUAN KUNCI — ANALITIK PER POLRES</t>
  </si>
  <si>
    <t>Temuan</t>
  </si>
  <si>
    <t>Uraian</t>
  </si>
  <si>
    <t>P1 Hotspot</t>
  </si>
  <si>
    <t>Rohul, Rohil, Bengkalis menempati prioritas tertinggi: masing-masing punya klaster Merah dan/atau korban (MD/luka) terkait KSO/PAM.</t>
  </si>
  <si>
    <t>Volume vs Intensitas</t>
  </si>
  <si>
    <t>Inhu punya volume kebun terbesar (28) dan luas KSO tinggi, tetapi skor risiko lebih rendah dari Rohul/Bengkalis karena dominan Hijau — tetap pantau isu plasma/MHA.</t>
  </si>
  <si>
    <t>Cakupan KSO</t>
  </si>
  <si>
    <t>Persentase luas KSO vs sita rendah di Bengkalis (~14%), Kampar (~13%), Pelalawan (~5%) → celah pengelolaan / sengketa penyerahan.</t>
  </si>
  <si>
    <t>Pidana berulang</t>
  </si>
  <si>
    <t>Kuansing: tipologi pencurian TBS berulang + potensi struktural (Pesikaian/TNTN/tuntutan 20%) — bedakan respons tipiring vs agraria.</t>
  </si>
  <si>
    <t>TNTN vs KSO</t>
  </si>
  <si>
    <t>Pelalawan: seluruh KSO Hijau, tetapi sinyal konflik Sedang–Tinggi dari dimensi TNTN — jangan campur dengan skor KSO murni.</t>
  </si>
  <si>
    <t>Gap data</t>
  </si>
  <si>
    <t>Siak &amp; Kep. Meranti kualitas data Tipis; Rohil detail LP Agrinas tipis; angka Intelkam (130 perusahaan) ≠ jumlah baris matriks (setelah DQ).</t>
  </si>
  <si>
    <t>Non-Agrinas</t>
  </si>
  <si>
    <t>Pekanbaru: LP pencurian TBS masyarakat non-Agrinas — jangan dihitung sebagai konflik KSO.</t>
  </si>
  <si>
    <t>Rekomendasi HARDA</t>
  </si>
  <si>
    <t>Fokus P1: amankan PAM BUJP, mediasi KSO sengketa, percepat sidik LP P21. P2: panen sepihak &amp; klaim ganda. P3–P4: monitoring + gap-fill data.</t>
  </si>
  <si>
    <t>METODOLOGI &amp; BATASAN</t>
  </si>
  <si>
    <t>1.</t>
  </si>
  <si>
    <t>Sumber: kebun, kasus_lp, ringkasan_polres dari matriks_agrinas_kso_12_polres.xlsx</t>
  </si>
  <si>
    <t>2.</t>
  </si>
  <si>
    <t>Baris agregat dikecualikan dari penjumlahan Ha: Rohil 'Agregat sitaan PKH'; Pelalawan agregat TNTN — agar tidak double-count.</t>
  </si>
  <si>
    <t>3.</t>
  </si>
  <si>
    <t>Normalisasi status KSO: Sudah KSO / Belum KSO / Langsung Agrinas / Satgas / Lainnya.</t>
  </si>
  <si>
    <t>4.</t>
  </si>
  <si>
    <t>Normalisasi klaster: prefix Merah/Kuning/Hijau (termasuk Hijau*, Kuning*); sisanya Lainnya.</t>
  </si>
  <si>
    <t>5.</t>
  </si>
  <si>
    <t>Jml Kebun (Intelkam) diambil dari ringkasan resmi; bisa berbeda dari jumlah baris matriks karena DQ/duplikasi/agregat.</t>
  </si>
  <si>
    <t>6.</t>
  </si>
  <si>
    <t>Skor Risiko bersifat komposit operasional, bukan skor Intelkam resmi — untuk ranking relatif antar polres.</t>
  </si>
  <si>
    <t>7.</t>
  </si>
  <si>
    <t>Kasus kekerasan = kategori mengandung bentrok/penganiayaan/pembakaran/pembunuhan/paksa/take-over.</t>
  </si>
  <si>
    <t>8.</t>
  </si>
  <si>
    <t>Validasi ulang klaster Hijau yang punya narasi konflik lokal (lihat DQ15).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</si>
</sst>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6"/>
      <color rgb="FF1B4332"/>
      <name val="Calibri"/>
    </font>
    <font>
      <sz val="10"/>
      <color rgb="FF495057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1B4332"/>
      <name val="Calibri"/>
    </font>
    <font>
      <b/>
      <sz val="10"/>
      <name val="Calibri"/>
    </font>
    <font>
      <b/>
      <sz val="11"/>
      <name val="Calibri"/>
    </font>
    <font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rgb="FF081C15"/>
      </patternFill>
    </fill>
    <fill>
      <patternFill patternType="solid">
        <fgColor rgb="FF1B4332"/>
      </patternFill>
    </fill>
    <fill>
      <patternFill patternType="solid">
        <fgColor rgb="FF9B2226"/>
      </patternFill>
    </fill>
    <fill>
      <patternFill patternType="solid">
        <fgColor rgb="FF0077B6"/>
      </patternFill>
    </fill>
    <fill>
      <patternFill patternType="solid">
        <fgColor rgb="FFB08968"/>
      </patternFill>
    </fill>
    <fill>
      <patternFill patternType="solid">
        <fgColor rgb="FF343A40"/>
      </patternFill>
    </fill>
    <fill>
      <patternFill patternType="solid">
        <fgColor rgb="FFF8D7DA"/>
      </patternFill>
    </fill>
    <fill>
      <patternFill patternType="solid">
        <fgColor rgb="FFC1121F"/>
      </patternFill>
    </fill>
    <fill>
      <patternFill patternType="solid">
        <fgColor rgb="FFF4A261"/>
      </patternFill>
    </fill>
    <fill>
      <patternFill patternType="solid">
        <fgColor rgb="FF2D6A4F"/>
      </patternFill>
    </fill>
    <fill>
      <patternFill patternType="solid">
        <fgColor rgb="FFE76F51"/>
      </patternFill>
    </fill>
    <fill>
      <patternFill patternType="solid">
        <fgColor rgb="FFFFF3CD"/>
      </patternFill>
    </fill>
    <fill>
      <patternFill patternType="solid">
        <fgColor rgb="FFD1E7DD"/>
      </patternFill>
    </fill>
    <fill>
      <patternFill patternType="solid">
        <fgColor rgb="FFE9ECEF"/>
      </patternFill>
    </fill>
  </fills>
  <borders count="2">
    <border>
      <left/>
      <right/>
      <top/>
      <bottom/>
      <diagonal/>
    </border>
    <border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4" fontId="7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7" fillId="3" borderId="0" xfId="0" applyFont="1" applyFill="1"/>
    <xf numFmtId="0" fontId="2" fillId="0" borderId="0" xfId="0" applyFont="1"/>
    <xf numFmtId="0" fontId="0" fillId="0" borderId="0" xfId="0"/>
    <xf numFmtId="0" fontId="9" fillId="13" borderId="0" xfId="0" applyFont="1" applyFill="1"/>
    <xf numFmtId="0" fontId="0" fillId="0" borderId="0" xfId="0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1" fillId="0" borderId="0" xfId="0" applyFont="1"/>
    <xf numFmtId="0" fontId="3" fillId="4" borderId="0" xfId="0" applyFont="1" applyFill="1" applyAlignment="1">
      <alignment horizontal="center" vertical="center" wrapText="1"/>
    </xf>
    <xf numFmtId="0" fontId="9" fillId="15" borderId="0" xfId="0" applyFont="1" applyFill="1"/>
    <xf numFmtId="0" fontId="3" fillId="5" borderId="0" xfId="0" applyFont="1" applyFill="1" applyAlignment="1">
      <alignment horizontal="center" vertical="center" wrapText="1"/>
    </xf>
    <xf numFmtId="0" fontId="9" fillId="14" borderId="0" xfId="0" applyFont="1" applyFill="1"/>
    <xf numFmtId="0" fontId="9" fillId="8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Skor Risiko per Polres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'Ranking &amp; Chart'!$D$4</c:f>
              <c:strCache>
                <c:ptCount val="1"/>
                <c:pt idx="0">
                  <c:v>Skor Risiko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'Ranking &amp; Chart'!$B$5:$B$16</c:f>
              <c:strCache>
                <c:ptCount val="12"/>
                <c:pt idx="0">
                  <c:v>Rohul</c:v>
                </c:pt>
                <c:pt idx="1">
                  <c:v>Bengkalis</c:v>
                </c:pt>
                <c:pt idx="2">
                  <c:v>Rohil</c:v>
                </c:pt>
                <c:pt idx="3">
                  <c:v>Kampar</c:v>
                </c:pt>
                <c:pt idx="4">
                  <c:v>Kuansing</c:v>
                </c:pt>
                <c:pt idx="5">
                  <c:v>Dumai</c:v>
                </c:pt>
                <c:pt idx="6">
                  <c:v>Inhu</c:v>
                </c:pt>
                <c:pt idx="7">
                  <c:v>Pelalawan</c:v>
                </c:pt>
                <c:pt idx="8">
                  <c:v>Inhil</c:v>
                </c:pt>
                <c:pt idx="9">
                  <c:v>Siak</c:v>
                </c:pt>
                <c:pt idx="10">
                  <c:v>Kep. Meranti</c:v>
                </c:pt>
                <c:pt idx="11">
                  <c:v>Pekanbaru</c:v>
                </c:pt>
              </c:strCache>
            </c:strRef>
          </c:cat>
          <c:val>
            <c:numRef>
              <c:f>'Ranking &amp; Chart'!$D$5:$D$16</c:f>
              <c:numCache>
                <c:formatCode>General</c:formatCode>
                <c:ptCount val="12"/>
                <c:pt idx="0">
                  <c:v>28</c:v>
                </c:pt>
                <c:pt idx="1">
                  <c:v>26.5</c:v>
                </c:pt>
                <c:pt idx="2">
                  <c:v>20</c:v>
                </c:pt>
                <c:pt idx="3">
                  <c:v>17</c:v>
                </c:pt>
                <c:pt idx="4">
                  <c:v>10.5</c:v>
                </c:pt>
                <c:pt idx="5">
                  <c:v>9.5</c:v>
                </c:pt>
                <c:pt idx="6">
                  <c:v>9</c:v>
                </c:pt>
                <c:pt idx="7">
                  <c:v>3</c:v>
                </c:pt>
                <c:pt idx="8">
                  <c:v>5.5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9-46F9-A0A6-87448A934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Skor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tron ID" id="{9F28C651-79AD-431B-93E0-38D872339A92}" userId="4fa84f91137a168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6-08-03T09:09:46.27" personId="{9F28C651-79AD-431B-93E0-38D872339A92}" id="{E5433C09-3E0C-4825-8D2E-093434AAF401}">
    <text>Dari baseline Intelkam (12.02.2026) untuk 130 perusahaan Agrinas–KSO</text>
  </threadedComment>
  <threadedComment ref="K3" dT="2026-08-03T09:12:40.11" personId="{9F28C651-79AD-431B-93E0-38D872339A92}" id="{35619EC7-3D63-492E-AB92-9F38BF161809}" parentId="{E5433C09-3E0C-4825-8D2E-093434AAF401}">
    <text>Merah = COUNT(kebun di polres X dengan klaster = Merah)
Kuning  = COUNT(... = Kuning)
Hijau   = COUNT(... = Hijau)
Klaster Lain = COUNT(... bukan Merah/Kuning/Hijau)
Cek: Merah + Kuning + Hijau + Klaster Lain = Jml Kebun (matriks)</text>
  </threadedComment>
  <threadedComment ref="E4" dT="2026-08-03T09:19:00.23" personId="{9F28C651-79AD-431B-93E0-38D872339A92}" id="{61EB76CF-35CE-4BE3-919E-B1B71D034800}">
    <text>Skor Risiko =  (Merah × 5)
+ (Kuning × 2)
+ (Jml Kasus/LP × 1,5)
+ (Kasus Kekerasan × 2)
+ (1 jika Sinyal Konflik memuat "MD", selain itu 0)</text>
  </threadedComment>
  <threadedComment ref="J4" dT="2026-08-03T09:07:33.15" personId="{9F28C651-79AD-431B-93E0-38D872339A92}" id="{D4EE765E-D720-42F9-8A12-253A0B2432CD}">
    <text>% KSO vs Sita = (Σ luas_kso_ha ÷ Σ luas_sita_ha) × 100
Contoh Rohul: luas KSO 19.243 Ha ÷ luas sita 51.473 Ha ≈ 37,4% — sekitar sepertiga luas sitaan yang tercatat sudah masuk KSO di matriks.</text>
  </threadedComment>
  <threadedComment ref="R4" dT="2026-08-03T09:14:01.66" personId="{9F28C651-79AD-431B-93E0-38D872339A92}" id="{0D8A1004-F00B-4B4A-91D6-2BFF82E37E33}">
    <text>Di luar tiga kategori di atas: Satgas PKH, dikembalikan, masyarakat, campuran, kosong/—, NIHIL, non-sawit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zoomScale="85" zoomScaleNormal="85" workbookViewId="0">
      <pane xSplit="2" ySplit="4" topLeftCell="C5" activePane="bottomRight" state="frozen"/>
      <selection pane="topRight"/>
      <selection pane="bottomLeft"/>
      <selection pane="bottomRight" activeCell="V5" sqref="V5"/>
    </sheetView>
  </sheetViews>
  <sheetFormatPr defaultRowHeight="14.25" x14ac:dyDescent="0.45"/>
  <cols>
    <col min="1" max="1" width="5" customWidth="1"/>
    <col min="2" max="2" width="14" customWidth="1"/>
    <col min="3" max="4" width="18" customWidth="1"/>
    <col min="5" max="7" width="10" customWidth="1"/>
    <col min="8" max="9" width="12" customWidth="1"/>
    <col min="10" max="10" width="10" customWidth="1"/>
    <col min="11" max="13" width="8" customWidth="1"/>
    <col min="14" max="16" width="9" customWidth="1"/>
    <col min="17" max="23" width="10" customWidth="1"/>
    <col min="24" max="24" width="18" customWidth="1"/>
    <col min="25" max="25" width="28" customWidth="1"/>
    <col min="26" max="27" width="32" customWidth="1"/>
    <col min="28" max="28" width="12" customWidth="1"/>
    <col min="29" max="29" width="32" customWidth="1"/>
  </cols>
  <sheetData>
    <row r="1" spans="1:29" ht="21" x14ac:dyDescent="0.65">
      <c r="A1" s="36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 x14ac:dyDescent="0.45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 spans="1:29" ht="22.05" customHeight="1" x14ac:dyDescent="0.45">
      <c r="A3" s="42" t="s">
        <v>2</v>
      </c>
      <c r="B3" s="32"/>
      <c r="C3" s="32"/>
      <c r="D3" s="32"/>
      <c r="E3" s="32"/>
      <c r="F3" s="35" t="s">
        <v>3</v>
      </c>
      <c r="G3" s="32"/>
      <c r="H3" s="32"/>
      <c r="I3" s="32"/>
      <c r="J3" s="32"/>
      <c r="K3" s="37" t="s">
        <v>4</v>
      </c>
      <c r="L3" s="32"/>
      <c r="M3" s="32"/>
      <c r="N3" s="32"/>
      <c r="O3" s="39" t="s">
        <v>5</v>
      </c>
      <c r="P3" s="32"/>
      <c r="Q3" s="32"/>
      <c r="R3" s="32"/>
      <c r="S3" s="43" t="s">
        <v>6</v>
      </c>
      <c r="T3" s="32"/>
      <c r="U3" s="32"/>
      <c r="V3" s="32"/>
      <c r="W3" s="44" t="s">
        <v>7</v>
      </c>
      <c r="X3" s="32"/>
      <c r="Y3" s="32"/>
      <c r="Z3" s="32"/>
      <c r="AA3" s="32"/>
      <c r="AB3" s="32"/>
      <c r="AC3" s="32"/>
    </row>
    <row r="4" spans="1:29" ht="36" customHeight="1" x14ac:dyDescent="0.4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27</v>
      </c>
      <c r="U4" s="3" t="s">
        <v>28</v>
      </c>
      <c r="V4" s="3" t="s">
        <v>29</v>
      </c>
      <c r="W4" s="3" t="s">
        <v>30</v>
      </c>
      <c r="X4" s="3" t="s">
        <v>31</v>
      </c>
      <c r="Y4" s="3" t="s">
        <v>32</v>
      </c>
      <c r="Z4" s="3" t="s">
        <v>33</v>
      </c>
      <c r="AA4" s="3" t="s">
        <v>34</v>
      </c>
      <c r="AB4" s="3" t="s">
        <v>35</v>
      </c>
      <c r="AC4" s="3" t="s">
        <v>36</v>
      </c>
    </row>
    <row r="5" spans="1:29" ht="48" customHeight="1" x14ac:dyDescent="0.45">
      <c r="A5" s="4">
        <v>1</v>
      </c>
      <c r="B5" s="4" t="s">
        <v>37</v>
      </c>
      <c r="C5" s="5" t="s">
        <v>38</v>
      </c>
      <c r="D5" s="6" t="s">
        <v>39</v>
      </c>
      <c r="E5" s="4">
        <v>28</v>
      </c>
      <c r="F5" s="4">
        <v>13</v>
      </c>
      <c r="G5" s="4">
        <v>21</v>
      </c>
      <c r="H5" s="7">
        <v>51473.11</v>
      </c>
      <c r="I5" s="7">
        <v>19243.34</v>
      </c>
      <c r="J5" s="8">
        <v>37.4</v>
      </c>
      <c r="K5" s="9">
        <v>1</v>
      </c>
      <c r="L5" s="10">
        <v>5</v>
      </c>
      <c r="M5" s="11">
        <v>6</v>
      </c>
      <c r="N5" s="4">
        <v>1</v>
      </c>
      <c r="O5" s="4">
        <v>6</v>
      </c>
      <c r="P5" s="4">
        <v>0</v>
      </c>
      <c r="Q5" s="4">
        <v>7</v>
      </c>
      <c r="R5" s="4">
        <v>0</v>
      </c>
      <c r="S5" s="4">
        <v>8</v>
      </c>
      <c r="T5" s="4">
        <v>4</v>
      </c>
      <c r="U5" s="12">
        <v>3</v>
      </c>
      <c r="V5" s="4">
        <v>1</v>
      </c>
      <c r="W5" s="4">
        <v>6</v>
      </c>
      <c r="X5" s="6" t="s">
        <v>40</v>
      </c>
      <c r="Y5" s="6" t="s">
        <v>41</v>
      </c>
      <c r="Z5" s="6" t="s">
        <v>42</v>
      </c>
      <c r="AA5" s="6" t="s">
        <v>43</v>
      </c>
      <c r="AB5" s="4" t="s">
        <v>44</v>
      </c>
      <c r="AC5" s="6" t="s">
        <v>45</v>
      </c>
    </row>
    <row r="6" spans="1:29" ht="48" customHeight="1" x14ac:dyDescent="0.45">
      <c r="A6" s="4">
        <v>2</v>
      </c>
      <c r="B6" s="4" t="s">
        <v>46</v>
      </c>
      <c r="C6" s="5" t="s">
        <v>38</v>
      </c>
      <c r="D6" s="6" t="s">
        <v>39</v>
      </c>
      <c r="E6" s="4">
        <v>26.5</v>
      </c>
      <c r="F6" s="4">
        <v>10</v>
      </c>
      <c r="G6" s="4">
        <v>8</v>
      </c>
      <c r="H6" s="7">
        <v>49415.519999999997</v>
      </c>
      <c r="I6" s="7">
        <v>6708.69</v>
      </c>
      <c r="J6" s="8">
        <v>13.6</v>
      </c>
      <c r="K6" s="9">
        <v>1</v>
      </c>
      <c r="L6" s="10">
        <v>2</v>
      </c>
      <c r="M6" s="11">
        <v>5</v>
      </c>
      <c r="N6" s="4">
        <v>2</v>
      </c>
      <c r="O6" s="4">
        <v>6</v>
      </c>
      <c r="P6" s="4">
        <v>3</v>
      </c>
      <c r="Q6" s="4">
        <v>0</v>
      </c>
      <c r="R6" s="4">
        <v>1</v>
      </c>
      <c r="S6" s="4">
        <v>9</v>
      </c>
      <c r="T6" s="4">
        <v>5</v>
      </c>
      <c r="U6" s="12">
        <v>5</v>
      </c>
      <c r="V6" s="4">
        <v>1</v>
      </c>
      <c r="W6" s="4">
        <v>3</v>
      </c>
      <c r="X6" s="6" t="s">
        <v>39</v>
      </c>
      <c r="Y6" s="6" t="s">
        <v>47</v>
      </c>
      <c r="Z6" s="6" t="s">
        <v>48</v>
      </c>
      <c r="AA6" s="6" t="s">
        <v>49</v>
      </c>
      <c r="AB6" s="4" t="s">
        <v>44</v>
      </c>
      <c r="AC6" s="6" t="s">
        <v>50</v>
      </c>
    </row>
    <row r="7" spans="1:29" ht="48" customHeight="1" x14ac:dyDescent="0.45">
      <c r="A7" s="4">
        <v>3</v>
      </c>
      <c r="B7" s="4" t="s">
        <v>51</v>
      </c>
      <c r="C7" s="5" t="s">
        <v>38</v>
      </c>
      <c r="D7" s="6" t="s">
        <v>39</v>
      </c>
      <c r="E7" s="4">
        <v>20</v>
      </c>
      <c r="F7" s="4">
        <v>7</v>
      </c>
      <c r="G7" s="4">
        <v>24</v>
      </c>
      <c r="H7" s="7">
        <v>9412.5499999999993</v>
      </c>
      <c r="I7" s="7">
        <v>7424.55</v>
      </c>
      <c r="J7" s="8">
        <v>78.900000000000006</v>
      </c>
      <c r="K7" s="9">
        <v>1</v>
      </c>
      <c r="L7" s="10">
        <v>5</v>
      </c>
      <c r="M7" s="11">
        <v>1</v>
      </c>
      <c r="N7" s="4">
        <v>0</v>
      </c>
      <c r="O7" s="4">
        <v>7</v>
      </c>
      <c r="P7" s="4">
        <v>0</v>
      </c>
      <c r="Q7" s="4">
        <v>0</v>
      </c>
      <c r="R7" s="4">
        <v>0</v>
      </c>
      <c r="S7" s="4">
        <v>6</v>
      </c>
      <c r="T7" s="4">
        <v>2</v>
      </c>
      <c r="U7" s="12">
        <v>1</v>
      </c>
      <c r="V7" s="4">
        <v>1</v>
      </c>
      <c r="W7" s="4">
        <v>7</v>
      </c>
      <c r="X7" s="6" t="s">
        <v>39</v>
      </c>
      <c r="Y7" s="6" t="s">
        <v>52</v>
      </c>
      <c r="Z7" s="6" t="s">
        <v>53</v>
      </c>
      <c r="AA7" s="6" t="s">
        <v>54</v>
      </c>
      <c r="AB7" s="4" t="s">
        <v>55</v>
      </c>
      <c r="AC7" s="6" t="s">
        <v>56</v>
      </c>
    </row>
    <row r="8" spans="1:29" ht="48" customHeight="1" x14ac:dyDescent="0.45">
      <c r="A8" s="4">
        <v>4</v>
      </c>
      <c r="B8" s="4" t="s">
        <v>57</v>
      </c>
      <c r="C8" s="13" t="s">
        <v>58</v>
      </c>
      <c r="D8" s="6" t="s">
        <v>59</v>
      </c>
      <c r="E8" s="4">
        <v>17</v>
      </c>
      <c r="F8" s="4">
        <v>11</v>
      </c>
      <c r="G8" s="4">
        <v>4</v>
      </c>
      <c r="H8" s="7">
        <v>27936.7</v>
      </c>
      <c r="I8" s="7">
        <v>3622.59</v>
      </c>
      <c r="J8" s="8">
        <v>13</v>
      </c>
      <c r="K8" s="4">
        <v>0</v>
      </c>
      <c r="L8" s="10">
        <v>3</v>
      </c>
      <c r="M8" s="11">
        <v>1</v>
      </c>
      <c r="N8" s="4">
        <v>7</v>
      </c>
      <c r="O8" s="4">
        <v>8</v>
      </c>
      <c r="P8" s="4">
        <v>1</v>
      </c>
      <c r="Q8" s="4">
        <v>2</v>
      </c>
      <c r="R8" s="4">
        <v>0</v>
      </c>
      <c r="S8" s="4">
        <v>10</v>
      </c>
      <c r="T8" s="4">
        <v>6</v>
      </c>
      <c r="U8" s="12">
        <v>1</v>
      </c>
      <c r="V8" s="4">
        <v>4</v>
      </c>
      <c r="W8" s="4">
        <v>3</v>
      </c>
      <c r="X8" s="6" t="s">
        <v>60</v>
      </c>
      <c r="Y8" s="6" t="s">
        <v>61</v>
      </c>
      <c r="Z8" s="6" t="s">
        <v>62</v>
      </c>
      <c r="AA8" s="6" t="s">
        <v>63</v>
      </c>
      <c r="AB8" s="4" t="s">
        <v>44</v>
      </c>
      <c r="AC8" s="6" t="s">
        <v>64</v>
      </c>
    </row>
    <row r="9" spans="1:29" ht="48" customHeight="1" x14ac:dyDescent="0.45">
      <c r="A9" s="4">
        <v>5</v>
      </c>
      <c r="B9" s="4" t="s">
        <v>65</v>
      </c>
      <c r="C9" s="13" t="s">
        <v>58</v>
      </c>
      <c r="D9" s="6" t="s">
        <v>59</v>
      </c>
      <c r="E9" s="4">
        <v>10.5</v>
      </c>
      <c r="F9" s="4">
        <v>11</v>
      </c>
      <c r="G9" s="4">
        <v>11</v>
      </c>
      <c r="H9" s="7">
        <v>30072.65</v>
      </c>
      <c r="I9" s="7">
        <v>15201.65</v>
      </c>
      <c r="J9" s="8">
        <v>50.5</v>
      </c>
      <c r="K9" s="4">
        <v>0</v>
      </c>
      <c r="L9" s="10">
        <v>2</v>
      </c>
      <c r="M9" s="11">
        <v>9</v>
      </c>
      <c r="N9" s="4">
        <v>0</v>
      </c>
      <c r="O9" s="4">
        <v>7</v>
      </c>
      <c r="P9" s="4">
        <v>3</v>
      </c>
      <c r="Q9" s="4">
        <v>1</v>
      </c>
      <c r="R9" s="4">
        <v>0</v>
      </c>
      <c r="S9" s="4">
        <v>5</v>
      </c>
      <c r="T9" s="4">
        <v>3</v>
      </c>
      <c r="U9" s="12">
        <v>1</v>
      </c>
      <c r="V9" s="4">
        <v>1</v>
      </c>
      <c r="W9" s="4">
        <v>1</v>
      </c>
      <c r="X9" s="6" t="s">
        <v>66</v>
      </c>
      <c r="Y9" s="6" t="s">
        <v>67</v>
      </c>
      <c r="Z9" s="6" t="s">
        <v>68</v>
      </c>
      <c r="AA9" s="6" t="s">
        <v>69</v>
      </c>
      <c r="AB9" s="4" t="s">
        <v>44</v>
      </c>
      <c r="AC9" s="6" t="s">
        <v>70</v>
      </c>
    </row>
    <row r="10" spans="1:29" ht="48" customHeight="1" x14ac:dyDescent="0.45">
      <c r="A10" s="4">
        <v>6</v>
      </c>
      <c r="B10" s="4" t="s">
        <v>71</v>
      </c>
      <c r="C10" s="13" t="s">
        <v>58</v>
      </c>
      <c r="D10" s="6" t="s">
        <v>59</v>
      </c>
      <c r="E10" s="4">
        <v>9.5</v>
      </c>
      <c r="F10" s="4">
        <v>3</v>
      </c>
      <c r="G10" s="4">
        <v>3</v>
      </c>
      <c r="H10" s="7">
        <v>3456.7</v>
      </c>
      <c r="I10" s="7">
        <v>3456.7</v>
      </c>
      <c r="J10" s="8">
        <v>100</v>
      </c>
      <c r="K10" s="4">
        <v>0</v>
      </c>
      <c r="L10" s="10">
        <v>3</v>
      </c>
      <c r="M10" s="4">
        <v>0</v>
      </c>
      <c r="N10" s="4">
        <v>0</v>
      </c>
      <c r="O10" s="4">
        <v>3</v>
      </c>
      <c r="P10" s="4">
        <v>0</v>
      </c>
      <c r="Q10" s="4">
        <v>0</v>
      </c>
      <c r="R10" s="4">
        <v>0</v>
      </c>
      <c r="S10" s="4">
        <v>3</v>
      </c>
      <c r="T10" s="4">
        <v>1</v>
      </c>
      <c r="U10" s="12">
        <v>1</v>
      </c>
      <c r="V10" s="4">
        <v>0</v>
      </c>
      <c r="W10" s="4">
        <v>3</v>
      </c>
      <c r="X10" s="6" t="s">
        <v>59</v>
      </c>
      <c r="Y10" s="6" t="s">
        <v>72</v>
      </c>
      <c r="Z10" s="6" t="s">
        <v>73</v>
      </c>
      <c r="AA10" s="6" t="s">
        <v>74</v>
      </c>
      <c r="AB10" s="4" t="s">
        <v>55</v>
      </c>
      <c r="AC10" s="6" t="s">
        <v>75</v>
      </c>
    </row>
    <row r="11" spans="1:29" ht="48" customHeight="1" x14ac:dyDescent="0.45">
      <c r="A11" s="4">
        <v>7</v>
      </c>
      <c r="B11" s="4" t="s">
        <v>76</v>
      </c>
      <c r="C11" s="13" t="s">
        <v>58</v>
      </c>
      <c r="D11" s="6" t="s">
        <v>59</v>
      </c>
      <c r="E11" s="4">
        <v>9</v>
      </c>
      <c r="F11" s="4">
        <v>28</v>
      </c>
      <c r="G11" s="4">
        <v>28</v>
      </c>
      <c r="H11" s="7">
        <v>37837.620000000003</v>
      </c>
      <c r="I11" s="7">
        <v>29139.73</v>
      </c>
      <c r="J11" s="8">
        <v>77</v>
      </c>
      <c r="K11" s="4">
        <v>0</v>
      </c>
      <c r="L11" s="10">
        <v>2</v>
      </c>
      <c r="M11" s="11">
        <v>26</v>
      </c>
      <c r="N11" s="4">
        <v>0</v>
      </c>
      <c r="O11" s="4">
        <v>16</v>
      </c>
      <c r="P11" s="4">
        <v>1</v>
      </c>
      <c r="Q11" s="4">
        <v>3</v>
      </c>
      <c r="R11" s="4">
        <v>8</v>
      </c>
      <c r="S11" s="4">
        <v>19</v>
      </c>
      <c r="T11" s="4">
        <v>2</v>
      </c>
      <c r="U11" s="12">
        <v>1</v>
      </c>
      <c r="V11" s="4">
        <v>1</v>
      </c>
      <c r="W11" s="4">
        <v>3</v>
      </c>
      <c r="X11" s="6" t="s">
        <v>77</v>
      </c>
      <c r="Y11" s="6" t="s">
        <v>78</v>
      </c>
      <c r="Z11" s="6" t="s">
        <v>79</v>
      </c>
      <c r="AA11" s="6" t="s">
        <v>80</v>
      </c>
      <c r="AB11" s="4" t="s">
        <v>44</v>
      </c>
      <c r="AC11" s="6" t="s">
        <v>81</v>
      </c>
    </row>
    <row r="12" spans="1:29" ht="48" customHeight="1" x14ac:dyDescent="0.45">
      <c r="A12" s="4">
        <v>8</v>
      </c>
      <c r="B12" s="4" t="s">
        <v>82</v>
      </c>
      <c r="C12" s="13" t="s">
        <v>58</v>
      </c>
      <c r="D12" s="6" t="s">
        <v>83</v>
      </c>
      <c r="E12" s="4">
        <v>3</v>
      </c>
      <c r="F12" s="4">
        <v>9</v>
      </c>
      <c r="G12" s="4">
        <v>9</v>
      </c>
      <c r="H12" s="7">
        <v>6269.63</v>
      </c>
      <c r="I12" s="7">
        <v>333.01</v>
      </c>
      <c r="J12" s="8">
        <v>5.3</v>
      </c>
      <c r="K12" s="4">
        <v>0</v>
      </c>
      <c r="L12" s="4">
        <v>0</v>
      </c>
      <c r="M12" s="11">
        <v>9</v>
      </c>
      <c r="N12" s="4">
        <v>0</v>
      </c>
      <c r="O12" s="4">
        <v>8</v>
      </c>
      <c r="P12" s="4">
        <v>0</v>
      </c>
      <c r="Q12" s="4">
        <v>1</v>
      </c>
      <c r="R12" s="4">
        <v>0</v>
      </c>
      <c r="S12" s="4">
        <v>1</v>
      </c>
      <c r="T12" s="4">
        <v>2</v>
      </c>
      <c r="U12" s="4">
        <v>0</v>
      </c>
      <c r="V12" s="4">
        <v>1</v>
      </c>
      <c r="W12" s="4">
        <v>0</v>
      </c>
      <c r="X12" s="6" t="s">
        <v>84</v>
      </c>
      <c r="Y12" s="6" t="s">
        <v>85</v>
      </c>
      <c r="Z12" s="6" t="s">
        <v>86</v>
      </c>
      <c r="AA12" s="6" t="s">
        <v>87</v>
      </c>
      <c r="AB12" s="4" t="s">
        <v>88</v>
      </c>
      <c r="AC12" s="6" t="s">
        <v>89</v>
      </c>
    </row>
    <row r="13" spans="1:29" ht="48" customHeight="1" x14ac:dyDescent="0.45">
      <c r="A13" s="4">
        <v>9</v>
      </c>
      <c r="B13" s="4" t="s">
        <v>90</v>
      </c>
      <c r="C13" s="14" t="s">
        <v>91</v>
      </c>
      <c r="D13" s="6" t="s">
        <v>92</v>
      </c>
      <c r="E13" s="4">
        <v>5.5</v>
      </c>
      <c r="F13" s="4">
        <v>6</v>
      </c>
      <c r="G13" s="4">
        <v>15</v>
      </c>
      <c r="H13" s="7">
        <v>3968.36</v>
      </c>
      <c r="I13" s="7">
        <v>3890.36</v>
      </c>
      <c r="J13" s="8">
        <v>98</v>
      </c>
      <c r="K13" s="4">
        <v>0</v>
      </c>
      <c r="L13" s="10">
        <v>2</v>
      </c>
      <c r="M13" s="11">
        <v>2</v>
      </c>
      <c r="N13" s="4">
        <v>2</v>
      </c>
      <c r="O13" s="4">
        <v>5</v>
      </c>
      <c r="P13" s="4">
        <v>0</v>
      </c>
      <c r="Q13" s="4">
        <v>0</v>
      </c>
      <c r="R13" s="4">
        <v>1</v>
      </c>
      <c r="S13" s="4">
        <v>4</v>
      </c>
      <c r="T13" s="4">
        <v>1</v>
      </c>
      <c r="U13" s="4">
        <v>0</v>
      </c>
      <c r="V13" s="4">
        <v>1</v>
      </c>
      <c r="W13" s="4">
        <v>4</v>
      </c>
      <c r="X13" s="6" t="s">
        <v>55</v>
      </c>
      <c r="Y13" s="6" t="s">
        <v>93</v>
      </c>
      <c r="Z13" s="6" t="s">
        <v>94</v>
      </c>
      <c r="AA13" s="6" t="s">
        <v>95</v>
      </c>
      <c r="AB13" s="4" t="s">
        <v>55</v>
      </c>
      <c r="AC13" s="6" t="s">
        <v>96</v>
      </c>
    </row>
    <row r="14" spans="1:29" ht="48" customHeight="1" x14ac:dyDescent="0.45">
      <c r="A14" s="4">
        <v>10</v>
      </c>
      <c r="B14" s="4" t="s">
        <v>97</v>
      </c>
      <c r="C14" s="14" t="s">
        <v>91</v>
      </c>
      <c r="D14" s="6" t="s">
        <v>55</v>
      </c>
      <c r="E14" s="4">
        <v>1.5</v>
      </c>
      <c r="F14" s="4">
        <v>4</v>
      </c>
      <c r="G14" s="4">
        <v>6</v>
      </c>
      <c r="H14" s="7">
        <v>1102.68</v>
      </c>
      <c r="I14" s="7">
        <v>985.44</v>
      </c>
      <c r="J14" s="8">
        <v>89.4</v>
      </c>
      <c r="K14" s="4">
        <v>0</v>
      </c>
      <c r="L14" s="4">
        <v>0</v>
      </c>
      <c r="M14" s="11">
        <v>4</v>
      </c>
      <c r="N14" s="4">
        <v>0</v>
      </c>
      <c r="O14" s="4">
        <v>2</v>
      </c>
      <c r="P14" s="4">
        <v>0</v>
      </c>
      <c r="Q14" s="4">
        <v>0</v>
      </c>
      <c r="R14" s="4">
        <v>2</v>
      </c>
      <c r="S14" s="4">
        <v>4</v>
      </c>
      <c r="T14" s="4">
        <v>1</v>
      </c>
      <c r="U14" s="4">
        <v>0</v>
      </c>
      <c r="V14" s="4">
        <v>0</v>
      </c>
      <c r="W14" s="4">
        <v>1</v>
      </c>
      <c r="X14" s="6" t="s">
        <v>98</v>
      </c>
      <c r="Y14" s="6" t="s">
        <v>99</v>
      </c>
      <c r="Z14" s="6" t="s">
        <v>100</v>
      </c>
      <c r="AA14" s="6" t="s">
        <v>101</v>
      </c>
      <c r="AB14" s="4" t="s">
        <v>102</v>
      </c>
      <c r="AC14" s="6" t="s">
        <v>103</v>
      </c>
    </row>
    <row r="15" spans="1:29" ht="48" customHeight="1" x14ac:dyDescent="0.45">
      <c r="A15" s="4">
        <v>11</v>
      </c>
      <c r="B15" s="4" t="s">
        <v>104</v>
      </c>
      <c r="C15" s="15" t="s">
        <v>105</v>
      </c>
      <c r="D15" s="6" t="s">
        <v>106</v>
      </c>
      <c r="E15" s="4">
        <v>1.5</v>
      </c>
      <c r="F15" s="4">
        <v>1</v>
      </c>
      <c r="G15" s="4">
        <v>1</v>
      </c>
      <c r="H15" s="7">
        <v>2584.44</v>
      </c>
      <c r="I15" s="7">
        <v>0</v>
      </c>
      <c r="J15" s="8">
        <v>0</v>
      </c>
      <c r="K15" s="4">
        <v>0</v>
      </c>
      <c r="L15" s="4">
        <v>0</v>
      </c>
      <c r="M15" s="11">
        <v>1</v>
      </c>
      <c r="N15" s="4">
        <v>0</v>
      </c>
      <c r="O15" s="4">
        <v>0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6" t="s">
        <v>107</v>
      </c>
      <c r="Y15" s="6" t="s">
        <v>108</v>
      </c>
      <c r="Z15" s="6" t="s">
        <v>109</v>
      </c>
      <c r="AA15" s="6" t="s">
        <v>110</v>
      </c>
      <c r="AB15" s="4" t="s">
        <v>102</v>
      </c>
      <c r="AC15" s="6" t="s">
        <v>111</v>
      </c>
    </row>
    <row r="16" spans="1:29" ht="48" customHeight="1" x14ac:dyDescent="0.45">
      <c r="A16" s="4">
        <v>12</v>
      </c>
      <c r="B16" s="4" t="s">
        <v>112</v>
      </c>
      <c r="C16" s="15" t="s">
        <v>105</v>
      </c>
      <c r="D16" s="6" t="s">
        <v>113</v>
      </c>
      <c r="E16" s="4">
        <v>1.5</v>
      </c>
      <c r="F16" s="4">
        <v>1</v>
      </c>
      <c r="G16" s="4">
        <v>0</v>
      </c>
      <c r="H16" s="7">
        <v>0</v>
      </c>
      <c r="I16" s="7">
        <v>0</v>
      </c>
      <c r="J16" s="4"/>
      <c r="K16" s="4">
        <v>0</v>
      </c>
      <c r="L16" s="4">
        <v>0</v>
      </c>
      <c r="M16" s="4">
        <v>0</v>
      </c>
      <c r="N16" s="4">
        <v>1</v>
      </c>
      <c r="O16" s="4">
        <v>0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0</v>
      </c>
      <c r="V16" s="4">
        <v>1</v>
      </c>
      <c r="W16" s="4">
        <v>0</v>
      </c>
      <c r="X16" s="6" t="s">
        <v>114</v>
      </c>
      <c r="Y16" s="6" t="s">
        <v>115</v>
      </c>
      <c r="Z16" s="6" t="s">
        <v>116</v>
      </c>
      <c r="AA16" s="6" t="s">
        <v>117</v>
      </c>
      <c r="AB16" s="4" t="s">
        <v>55</v>
      </c>
      <c r="AC16" s="6" t="s">
        <v>118</v>
      </c>
    </row>
    <row r="17" spans="1:29" ht="40.049999999999997" customHeight="1" x14ac:dyDescent="0.45">
      <c r="A17" s="30" t="s">
        <v>119</v>
      </c>
      <c r="B17" s="30"/>
      <c r="C17" s="30"/>
      <c r="D17" s="30"/>
      <c r="E17" s="16">
        <v>133.5</v>
      </c>
      <c r="F17" s="17">
        <v>104</v>
      </c>
      <c r="G17" s="17">
        <v>130</v>
      </c>
      <c r="H17" s="18">
        <v>223529.96</v>
      </c>
      <c r="I17" s="18">
        <v>90006.06</v>
      </c>
      <c r="J17" s="17">
        <v>40.299999999999997</v>
      </c>
      <c r="K17" s="17">
        <v>3</v>
      </c>
      <c r="L17" s="17">
        <v>24</v>
      </c>
      <c r="M17" s="17">
        <v>64</v>
      </c>
      <c r="N17" s="17">
        <v>13</v>
      </c>
      <c r="O17" s="17">
        <v>68</v>
      </c>
      <c r="P17" s="17">
        <v>8</v>
      </c>
      <c r="Q17" s="17">
        <v>14</v>
      </c>
      <c r="R17" s="17">
        <v>14</v>
      </c>
      <c r="S17" s="17">
        <v>71</v>
      </c>
      <c r="T17" s="17">
        <v>29</v>
      </c>
      <c r="U17" s="17">
        <v>13</v>
      </c>
      <c r="V17" s="17">
        <v>12</v>
      </c>
      <c r="W17" s="34" t="s">
        <v>120</v>
      </c>
      <c r="X17" s="32"/>
      <c r="Y17" s="32"/>
      <c r="Z17" s="32"/>
      <c r="AA17" s="32"/>
      <c r="AB17" s="32"/>
      <c r="AC17" s="32"/>
    </row>
    <row r="19" spans="1:29" x14ac:dyDescent="0.45">
      <c r="A19" s="20" t="s">
        <v>121</v>
      </c>
    </row>
    <row r="20" spans="1:29" x14ac:dyDescent="0.45">
      <c r="A20" s="41" t="s">
        <v>38</v>
      </c>
      <c r="B20" s="32"/>
      <c r="C20" s="32"/>
      <c r="D20" s="31" t="s">
        <v>122</v>
      </c>
      <c r="E20" s="32"/>
      <c r="F20" s="32"/>
      <c r="G20" s="32"/>
      <c r="H20" s="32"/>
      <c r="I20" s="32"/>
      <c r="J20" s="32"/>
    </row>
    <row r="21" spans="1:29" x14ac:dyDescent="0.45">
      <c r="A21" s="33" t="s">
        <v>58</v>
      </c>
      <c r="B21" s="32"/>
      <c r="C21" s="32"/>
      <c r="D21" s="31" t="s">
        <v>123</v>
      </c>
      <c r="E21" s="32"/>
      <c r="F21" s="32"/>
      <c r="G21" s="32"/>
      <c r="H21" s="32"/>
      <c r="I21" s="32"/>
      <c r="J21" s="32"/>
    </row>
    <row r="22" spans="1:29" x14ac:dyDescent="0.45">
      <c r="A22" s="40" t="s">
        <v>91</v>
      </c>
      <c r="B22" s="32"/>
      <c r="C22" s="32"/>
      <c r="D22" s="31" t="s">
        <v>124</v>
      </c>
      <c r="E22" s="32"/>
      <c r="F22" s="32"/>
      <c r="G22" s="32"/>
      <c r="H22" s="32"/>
      <c r="I22" s="32"/>
      <c r="J22" s="32"/>
    </row>
    <row r="23" spans="1:29" x14ac:dyDescent="0.45">
      <c r="A23" s="38" t="s">
        <v>105</v>
      </c>
      <c r="B23" s="32"/>
      <c r="C23" s="32"/>
      <c r="D23" s="31" t="s">
        <v>125</v>
      </c>
      <c r="E23" s="32"/>
      <c r="F23" s="32"/>
      <c r="G23" s="32"/>
      <c r="H23" s="32"/>
      <c r="I23" s="32"/>
      <c r="J23" s="32"/>
    </row>
    <row r="25" spans="1:29" x14ac:dyDescent="0.45">
      <c r="A25" s="31" t="s">
        <v>126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</sheetData>
  <autoFilter ref="A4:AC16" xr:uid="{00000000-0009-0000-0000-000000000000}"/>
  <mergeCells count="19">
    <mergeCell ref="F3:J3"/>
    <mergeCell ref="A1:AC1"/>
    <mergeCell ref="K3:N3"/>
    <mergeCell ref="A23:C23"/>
    <mergeCell ref="O3:R3"/>
    <mergeCell ref="A22:C22"/>
    <mergeCell ref="D20:J20"/>
    <mergeCell ref="A20:C20"/>
    <mergeCell ref="A3:E3"/>
    <mergeCell ref="D22:J22"/>
    <mergeCell ref="S3:V3"/>
    <mergeCell ref="D21:J21"/>
    <mergeCell ref="A2:AC2"/>
    <mergeCell ref="W3:AC3"/>
    <mergeCell ref="A17:D17"/>
    <mergeCell ref="A25:L25"/>
    <mergeCell ref="A21:C21"/>
    <mergeCell ref="W17:AC17"/>
    <mergeCell ref="D23:J23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sqref="A1:F1"/>
    </sheetView>
  </sheetViews>
  <sheetFormatPr defaultRowHeight="14.25" x14ac:dyDescent="0.45"/>
  <cols>
    <col min="1" max="1" width="10" customWidth="1"/>
    <col min="2" max="2" width="14" customWidth="1"/>
    <col min="3" max="3" width="20" customWidth="1"/>
    <col min="4" max="5" width="12" customWidth="1"/>
    <col min="6" max="6" width="14" customWidth="1"/>
  </cols>
  <sheetData>
    <row r="1" spans="1:6" ht="21" x14ac:dyDescent="0.65">
      <c r="A1" s="36" t="s">
        <v>127</v>
      </c>
      <c r="B1" s="32"/>
      <c r="C1" s="32"/>
      <c r="D1" s="32"/>
      <c r="E1" s="32"/>
      <c r="F1" s="32"/>
    </row>
    <row r="2" spans="1:6" x14ac:dyDescent="0.45">
      <c r="A2" s="2" t="s">
        <v>128</v>
      </c>
    </row>
    <row r="4" spans="1:6" x14ac:dyDescent="0.45">
      <c r="A4" s="3" t="s">
        <v>129</v>
      </c>
      <c r="B4" s="3" t="s">
        <v>9</v>
      </c>
      <c r="C4" s="3" t="s">
        <v>130</v>
      </c>
      <c r="D4" s="3" t="s">
        <v>12</v>
      </c>
      <c r="E4" s="3" t="s">
        <v>27</v>
      </c>
      <c r="F4" s="3" t="s">
        <v>131</v>
      </c>
    </row>
    <row r="5" spans="1:6" ht="20" customHeight="1" x14ac:dyDescent="0.45">
      <c r="A5" s="4">
        <v>1</v>
      </c>
      <c r="B5" s="4" t="s">
        <v>37</v>
      </c>
      <c r="C5" s="21" t="s">
        <v>38</v>
      </c>
      <c r="D5" s="4">
        <v>28</v>
      </c>
      <c r="E5" s="4">
        <v>4</v>
      </c>
      <c r="F5" s="4">
        <v>6</v>
      </c>
    </row>
    <row r="6" spans="1:6" ht="20" customHeight="1" x14ac:dyDescent="0.45">
      <c r="A6" s="4">
        <v>2</v>
      </c>
      <c r="B6" s="4" t="s">
        <v>46</v>
      </c>
      <c r="C6" s="21" t="s">
        <v>38</v>
      </c>
      <c r="D6" s="4">
        <v>26.5</v>
      </c>
      <c r="E6" s="4">
        <v>5</v>
      </c>
      <c r="F6" s="4">
        <v>3</v>
      </c>
    </row>
    <row r="7" spans="1:6" ht="20" customHeight="1" x14ac:dyDescent="0.45">
      <c r="A7" s="4">
        <v>3</v>
      </c>
      <c r="B7" s="4" t="s">
        <v>51</v>
      </c>
      <c r="C7" s="21" t="s">
        <v>38</v>
      </c>
      <c r="D7" s="4">
        <v>20</v>
      </c>
      <c r="E7" s="4">
        <v>2</v>
      </c>
      <c r="F7" s="4">
        <v>6</v>
      </c>
    </row>
    <row r="8" spans="1:6" ht="20" customHeight="1" x14ac:dyDescent="0.45">
      <c r="A8" s="4">
        <v>4</v>
      </c>
      <c r="B8" s="4" t="s">
        <v>57</v>
      </c>
      <c r="C8" s="22" t="s">
        <v>58</v>
      </c>
      <c r="D8" s="4">
        <v>17</v>
      </c>
      <c r="E8" s="4">
        <v>6</v>
      </c>
      <c r="F8" s="4">
        <v>3</v>
      </c>
    </row>
    <row r="9" spans="1:6" ht="20" customHeight="1" x14ac:dyDescent="0.45">
      <c r="A9" s="4">
        <v>5</v>
      </c>
      <c r="B9" s="4" t="s">
        <v>65</v>
      </c>
      <c r="C9" s="22" t="s">
        <v>58</v>
      </c>
      <c r="D9" s="4">
        <v>10.5</v>
      </c>
      <c r="E9" s="4">
        <v>3</v>
      </c>
      <c r="F9" s="4">
        <v>2</v>
      </c>
    </row>
    <row r="10" spans="1:6" ht="20" customHeight="1" x14ac:dyDescent="0.45">
      <c r="A10" s="4">
        <v>6</v>
      </c>
      <c r="B10" s="4" t="s">
        <v>71</v>
      </c>
      <c r="C10" s="22" t="s">
        <v>58</v>
      </c>
      <c r="D10" s="4">
        <v>9.5</v>
      </c>
      <c r="E10" s="4">
        <v>1</v>
      </c>
      <c r="F10" s="4">
        <v>3</v>
      </c>
    </row>
    <row r="11" spans="1:6" ht="20" customHeight="1" x14ac:dyDescent="0.45">
      <c r="A11" s="4">
        <v>7</v>
      </c>
      <c r="B11" s="4" t="s">
        <v>76</v>
      </c>
      <c r="C11" s="22" t="s">
        <v>58</v>
      </c>
      <c r="D11" s="4">
        <v>9</v>
      </c>
      <c r="E11" s="4">
        <v>2</v>
      </c>
      <c r="F11" s="4">
        <v>2</v>
      </c>
    </row>
    <row r="12" spans="1:6" ht="20" customHeight="1" x14ac:dyDescent="0.45">
      <c r="A12" s="4">
        <v>8</v>
      </c>
      <c r="B12" s="4" t="s">
        <v>82</v>
      </c>
      <c r="C12" s="22" t="s">
        <v>58</v>
      </c>
      <c r="D12" s="4">
        <v>3</v>
      </c>
      <c r="E12" s="4">
        <v>2</v>
      </c>
      <c r="F12" s="4">
        <v>0</v>
      </c>
    </row>
    <row r="13" spans="1:6" ht="20" customHeight="1" x14ac:dyDescent="0.45">
      <c r="A13" s="4">
        <v>9</v>
      </c>
      <c r="B13" s="4" t="s">
        <v>90</v>
      </c>
      <c r="C13" s="23" t="s">
        <v>91</v>
      </c>
      <c r="D13" s="4">
        <v>5.5</v>
      </c>
      <c r="E13" s="4">
        <v>1</v>
      </c>
      <c r="F13" s="4">
        <v>2</v>
      </c>
    </row>
    <row r="14" spans="1:6" ht="20" customHeight="1" x14ac:dyDescent="0.45">
      <c r="A14" s="4">
        <v>10</v>
      </c>
      <c r="B14" s="4" t="s">
        <v>97</v>
      </c>
      <c r="C14" s="23" t="s">
        <v>91</v>
      </c>
      <c r="D14" s="4">
        <v>1.5</v>
      </c>
      <c r="E14" s="4">
        <v>1</v>
      </c>
      <c r="F14" s="4">
        <v>0</v>
      </c>
    </row>
    <row r="15" spans="1:6" ht="20" customHeight="1" x14ac:dyDescent="0.45">
      <c r="A15" s="4">
        <v>11</v>
      </c>
      <c r="B15" s="4" t="s">
        <v>104</v>
      </c>
      <c r="C15" s="24" t="s">
        <v>105</v>
      </c>
      <c r="D15" s="4">
        <v>1.5</v>
      </c>
      <c r="E15" s="4">
        <v>1</v>
      </c>
      <c r="F15" s="4">
        <v>0</v>
      </c>
    </row>
    <row r="16" spans="1:6" ht="20" customHeight="1" x14ac:dyDescent="0.45">
      <c r="A16" s="4">
        <v>12</v>
      </c>
      <c r="B16" s="4" t="s">
        <v>112</v>
      </c>
      <c r="C16" s="24" t="s">
        <v>105</v>
      </c>
      <c r="D16" s="4">
        <v>1.5</v>
      </c>
      <c r="E16" s="4">
        <v>1</v>
      </c>
      <c r="F16" s="4">
        <v>0</v>
      </c>
    </row>
  </sheetData>
  <mergeCells count="1">
    <mergeCell ref="A1:F1"/>
  </mergeCells>
  <conditionalFormatting sqref="D5:D16">
    <cfRule type="colorScale" priority="1">
      <colorScale>
        <cfvo type="min"/>
        <cfvo type="percentile" val="50"/>
        <cfvo type="max"/>
        <color rgb="FFD8F3DC"/>
        <color rgb="FFF4A261"/>
        <color rgb="FFC1121F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4" customWidth="1"/>
    <col min="2" max="4" width="10" customWidth="1"/>
    <col min="5" max="5" width="14" customWidth="1"/>
    <col min="6" max="6" width="12" customWidth="1"/>
    <col min="7" max="7" width="14" customWidth="1"/>
    <col min="8" max="8" width="40" customWidth="1"/>
  </cols>
  <sheetData>
    <row r="1" spans="1:8" ht="21" x14ac:dyDescent="0.65">
      <c r="A1" s="1" t="s">
        <v>132</v>
      </c>
    </row>
    <row r="2" spans="1:8" x14ac:dyDescent="0.45">
      <c r="A2" s="2" t="s">
        <v>133</v>
      </c>
    </row>
    <row r="4" spans="1:8" x14ac:dyDescent="0.45">
      <c r="A4" s="3" t="s">
        <v>9</v>
      </c>
      <c r="B4" s="3" t="s">
        <v>18</v>
      </c>
      <c r="C4" s="3" t="s">
        <v>19</v>
      </c>
      <c r="D4" s="3" t="s">
        <v>20</v>
      </c>
      <c r="E4" s="3" t="s">
        <v>134</v>
      </c>
      <c r="F4" s="3" t="s">
        <v>135</v>
      </c>
      <c r="G4" s="3" t="s">
        <v>136</v>
      </c>
      <c r="H4" s="3" t="s">
        <v>137</v>
      </c>
    </row>
    <row r="5" spans="1:8" ht="28.05" customHeight="1" x14ac:dyDescent="0.45">
      <c r="A5" s="4" t="s">
        <v>37</v>
      </c>
      <c r="B5" s="25">
        <v>1</v>
      </c>
      <c r="C5" s="26">
        <v>5</v>
      </c>
      <c r="D5" s="27">
        <v>6</v>
      </c>
      <c r="E5" s="4">
        <v>1</v>
      </c>
      <c r="F5" s="4">
        <v>13</v>
      </c>
      <c r="G5" s="4">
        <v>46.2</v>
      </c>
      <c r="H5" s="6" t="s">
        <v>138</v>
      </c>
    </row>
    <row r="6" spans="1:8" ht="28.05" customHeight="1" x14ac:dyDescent="0.45">
      <c r="A6" s="4" t="s">
        <v>46</v>
      </c>
      <c r="B6" s="25">
        <v>1</v>
      </c>
      <c r="C6" s="26">
        <v>2</v>
      </c>
      <c r="D6" s="27">
        <v>5</v>
      </c>
      <c r="E6" s="4">
        <v>2</v>
      </c>
      <c r="F6" s="4">
        <v>10</v>
      </c>
      <c r="G6" s="4">
        <v>30</v>
      </c>
      <c r="H6" s="6" t="s">
        <v>138</v>
      </c>
    </row>
    <row r="7" spans="1:8" ht="28.05" customHeight="1" x14ac:dyDescent="0.45">
      <c r="A7" s="4" t="s">
        <v>51</v>
      </c>
      <c r="B7" s="25">
        <v>1</v>
      </c>
      <c r="C7" s="26">
        <v>5</v>
      </c>
      <c r="D7" s="27">
        <v>1</v>
      </c>
      <c r="E7" s="4">
        <v>0</v>
      </c>
      <c r="F7" s="4">
        <v>7</v>
      </c>
      <c r="G7" s="4">
        <v>85.7</v>
      </c>
      <c r="H7" s="6" t="s">
        <v>138</v>
      </c>
    </row>
    <row r="8" spans="1:8" ht="28.05" customHeight="1" x14ac:dyDescent="0.45">
      <c r="A8" s="4" t="s">
        <v>57</v>
      </c>
      <c r="B8" s="4">
        <v>0</v>
      </c>
      <c r="C8" s="26">
        <v>3</v>
      </c>
      <c r="D8" s="27">
        <v>1</v>
      </c>
      <c r="E8" s="4">
        <v>7</v>
      </c>
      <c r="F8" s="4">
        <v>11</v>
      </c>
      <c r="G8" s="4">
        <v>27.3</v>
      </c>
      <c r="H8" s="6" t="s">
        <v>139</v>
      </c>
    </row>
    <row r="9" spans="1:8" ht="28.05" customHeight="1" x14ac:dyDescent="0.45">
      <c r="A9" s="4" t="s">
        <v>65</v>
      </c>
      <c r="B9" s="4">
        <v>0</v>
      </c>
      <c r="C9" s="26">
        <v>2</v>
      </c>
      <c r="D9" s="27">
        <v>9</v>
      </c>
      <c r="E9" s="4">
        <v>0</v>
      </c>
      <c r="F9" s="4">
        <v>11</v>
      </c>
      <c r="G9" s="4">
        <v>18.2</v>
      </c>
      <c r="H9" s="6" t="s">
        <v>140</v>
      </c>
    </row>
    <row r="10" spans="1:8" ht="28.05" customHeight="1" x14ac:dyDescent="0.45">
      <c r="A10" s="4" t="s">
        <v>71</v>
      </c>
      <c r="B10" s="4">
        <v>0</v>
      </c>
      <c r="C10" s="26">
        <v>3</v>
      </c>
      <c r="D10" s="4">
        <v>0</v>
      </c>
      <c r="E10" s="4">
        <v>0</v>
      </c>
      <c r="F10" s="4">
        <v>3</v>
      </c>
      <c r="G10" s="4">
        <v>100</v>
      </c>
      <c r="H10" s="6" t="s">
        <v>139</v>
      </c>
    </row>
    <row r="11" spans="1:8" ht="28.05" customHeight="1" x14ac:dyDescent="0.45">
      <c r="A11" s="4" t="s">
        <v>76</v>
      </c>
      <c r="B11" s="4">
        <v>0</v>
      </c>
      <c r="C11" s="26">
        <v>2</v>
      </c>
      <c r="D11" s="27">
        <v>26</v>
      </c>
      <c r="E11" s="4">
        <v>0</v>
      </c>
      <c r="F11" s="4">
        <v>28</v>
      </c>
      <c r="G11" s="4">
        <v>7.1</v>
      </c>
      <c r="H11" s="6" t="s">
        <v>140</v>
      </c>
    </row>
    <row r="12" spans="1:8" ht="28.05" customHeight="1" x14ac:dyDescent="0.45">
      <c r="A12" s="4" t="s">
        <v>82</v>
      </c>
      <c r="B12" s="4">
        <v>0</v>
      </c>
      <c r="C12" s="4">
        <v>0</v>
      </c>
      <c r="D12" s="27">
        <v>9</v>
      </c>
      <c r="E12" s="4">
        <v>0</v>
      </c>
      <c r="F12" s="4">
        <v>9</v>
      </c>
      <c r="G12" s="4">
        <v>0</v>
      </c>
      <c r="H12" s="6" t="s">
        <v>141</v>
      </c>
    </row>
    <row r="13" spans="1:8" ht="28.05" customHeight="1" x14ac:dyDescent="0.45">
      <c r="A13" s="4" t="s">
        <v>90</v>
      </c>
      <c r="B13" s="4">
        <v>0</v>
      </c>
      <c r="C13" s="26">
        <v>2</v>
      </c>
      <c r="D13" s="27">
        <v>2</v>
      </c>
      <c r="E13" s="4">
        <v>2</v>
      </c>
      <c r="F13" s="4">
        <v>6</v>
      </c>
      <c r="G13" s="4">
        <v>33.299999999999997</v>
      </c>
      <c r="H13" s="6" t="s">
        <v>140</v>
      </c>
    </row>
    <row r="14" spans="1:8" ht="28.05" customHeight="1" x14ac:dyDescent="0.45">
      <c r="A14" s="4" t="s">
        <v>97</v>
      </c>
      <c r="B14" s="4">
        <v>0</v>
      </c>
      <c r="C14" s="4">
        <v>0</v>
      </c>
      <c r="D14" s="27">
        <v>4</v>
      </c>
      <c r="E14" s="4">
        <v>0</v>
      </c>
      <c r="F14" s="4">
        <v>4</v>
      </c>
      <c r="G14" s="4">
        <v>0</v>
      </c>
      <c r="H14" s="6" t="s">
        <v>141</v>
      </c>
    </row>
    <row r="15" spans="1:8" ht="28.05" customHeight="1" x14ac:dyDescent="0.45">
      <c r="A15" s="4" t="s">
        <v>104</v>
      </c>
      <c r="B15" s="4">
        <v>0</v>
      </c>
      <c r="C15" s="4">
        <v>0</v>
      </c>
      <c r="D15" s="27">
        <v>1</v>
      </c>
      <c r="E15" s="4">
        <v>0</v>
      </c>
      <c r="F15" s="4">
        <v>1</v>
      </c>
      <c r="G15" s="4">
        <v>0</v>
      </c>
      <c r="H15" s="6" t="s">
        <v>141</v>
      </c>
    </row>
    <row r="16" spans="1:8" ht="28.05" customHeight="1" x14ac:dyDescent="0.45">
      <c r="A16" s="4" t="s">
        <v>112</v>
      </c>
      <c r="B16" s="4">
        <v>0</v>
      </c>
      <c r="C16" s="4">
        <v>0</v>
      </c>
      <c r="D16" s="4">
        <v>0</v>
      </c>
      <c r="E16" s="4">
        <v>1</v>
      </c>
      <c r="F16" s="4">
        <v>1</v>
      </c>
      <c r="G16" s="4">
        <v>0</v>
      </c>
      <c r="H16" s="6" t="s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4.25" x14ac:dyDescent="0.45"/>
  <cols>
    <col min="1" max="1" width="14" customWidth="1"/>
    <col min="2" max="2" width="10" customWidth="1"/>
    <col min="3" max="3" width="14" customWidth="1"/>
    <col min="4" max="4" width="12" customWidth="1"/>
    <col min="5" max="5" width="14" customWidth="1"/>
    <col min="6" max="6" width="22" customWidth="1"/>
    <col min="7" max="7" width="40" customWidth="1"/>
    <col min="8" max="8" width="14" customWidth="1"/>
  </cols>
  <sheetData>
    <row r="1" spans="1:8" ht="21" x14ac:dyDescent="0.65">
      <c r="A1" s="1" t="s">
        <v>143</v>
      </c>
    </row>
    <row r="2" spans="1:8" x14ac:dyDescent="0.45">
      <c r="A2" s="2" t="s">
        <v>144</v>
      </c>
    </row>
    <row r="4" spans="1:8" ht="26.25" x14ac:dyDescent="0.45">
      <c r="A4" s="3" t="s">
        <v>9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  <c r="G4" s="3" t="s">
        <v>150</v>
      </c>
      <c r="H4" s="3" t="s">
        <v>151</v>
      </c>
    </row>
    <row r="5" spans="1:8" ht="32" customHeight="1" x14ac:dyDescent="0.45">
      <c r="A5" s="4" t="s">
        <v>37</v>
      </c>
      <c r="B5" s="4">
        <v>4</v>
      </c>
      <c r="C5" s="25">
        <v>3</v>
      </c>
      <c r="D5" s="4">
        <v>1</v>
      </c>
      <c r="E5" s="4">
        <v>4</v>
      </c>
      <c r="F5" s="6" t="s">
        <v>152</v>
      </c>
      <c r="G5" s="6" t="s">
        <v>153</v>
      </c>
      <c r="H5" s="4" t="s">
        <v>154</v>
      </c>
    </row>
    <row r="6" spans="1:8" ht="32" customHeight="1" x14ac:dyDescent="0.45">
      <c r="A6" s="4" t="s">
        <v>46</v>
      </c>
      <c r="B6" s="4">
        <v>5</v>
      </c>
      <c r="C6" s="25">
        <v>5</v>
      </c>
      <c r="D6" s="4">
        <v>1</v>
      </c>
      <c r="E6" s="4">
        <v>5</v>
      </c>
      <c r="F6" s="6" t="s">
        <v>155</v>
      </c>
      <c r="G6" s="6" t="s">
        <v>156</v>
      </c>
      <c r="H6" s="4" t="s">
        <v>154</v>
      </c>
    </row>
    <row r="7" spans="1:8" ht="32" customHeight="1" x14ac:dyDescent="0.45">
      <c r="A7" s="4" t="s">
        <v>51</v>
      </c>
      <c r="B7" s="4">
        <v>2</v>
      </c>
      <c r="C7" s="28">
        <v>1</v>
      </c>
      <c r="D7" s="4">
        <v>1</v>
      </c>
      <c r="E7" s="4">
        <v>2</v>
      </c>
      <c r="F7" s="6" t="s">
        <v>157</v>
      </c>
      <c r="G7" s="6" t="s">
        <v>158</v>
      </c>
      <c r="H7" s="4" t="s">
        <v>154</v>
      </c>
    </row>
    <row r="8" spans="1:8" ht="32" customHeight="1" x14ac:dyDescent="0.45">
      <c r="A8" s="4" t="s">
        <v>57</v>
      </c>
      <c r="B8" s="4">
        <v>6</v>
      </c>
      <c r="C8" s="28">
        <v>1</v>
      </c>
      <c r="D8" s="4">
        <v>4</v>
      </c>
      <c r="E8" s="4">
        <v>5</v>
      </c>
      <c r="F8" s="6" t="s">
        <v>159</v>
      </c>
      <c r="G8" s="6" t="s">
        <v>160</v>
      </c>
      <c r="H8" s="4" t="s">
        <v>154</v>
      </c>
    </row>
    <row r="9" spans="1:8" ht="32" customHeight="1" x14ac:dyDescent="0.45">
      <c r="A9" s="4" t="s">
        <v>65</v>
      </c>
      <c r="B9" s="4">
        <v>3</v>
      </c>
      <c r="C9" s="28">
        <v>1</v>
      </c>
      <c r="D9" s="4">
        <v>1</v>
      </c>
      <c r="E9" s="4">
        <v>3</v>
      </c>
      <c r="F9" s="6" t="s">
        <v>161</v>
      </c>
      <c r="G9" s="6" t="s">
        <v>162</v>
      </c>
      <c r="H9" s="4" t="s">
        <v>154</v>
      </c>
    </row>
    <row r="10" spans="1:8" ht="32" customHeight="1" x14ac:dyDescent="0.45">
      <c r="A10" s="4" t="s">
        <v>71</v>
      </c>
      <c r="B10" s="4">
        <v>1</v>
      </c>
      <c r="C10" s="28">
        <v>1</v>
      </c>
      <c r="D10" s="4">
        <v>0</v>
      </c>
      <c r="E10" s="4">
        <v>1</v>
      </c>
      <c r="F10" s="6" t="s">
        <v>163</v>
      </c>
      <c r="G10" s="6" t="s">
        <v>164</v>
      </c>
      <c r="H10" s="4" t="s">
        <v>165</v>
      </c>
    </row>
    <row r="11" spans="1:8" ht="32" customHeight="1" x14ac:dyDescent="0.45">
      <c r="A11" s="4" t="s">
        <v>76</v>
      </c>
      <c r="B11" s="4">
        <v>2</v>
      </c>
      <c r="C11" s="28">
        <v>1</v>
      </c>
      <c r="D11" s="4">
        <v>1</v>
      </c>
      <c r="E11" s="4">
        <v>2</v>
      </c>
      <c r="F11" s="6" t="s">
        <v>166</v>
      </c>
      <c r="G11" s="6" t="s">
        <v>167</v>
      </c>
      <c r="H11" s="4" t="s">
        <v>165</v>
      </c>
    </row>
    <row r="12" spans="1:8" ht="32" customHeight="1" x14ac:dyDescent="0.45">
      <c r="A12" s="4" t="s">
        <v>82</v>
      </c>
      <c r="B12" s="4">
        <v>2</v>
      </c>
      <c r="C12" s="4">
        <v>0</v>
      </c>
      <c r="D12" s="4">
        <v>1</v>
      </c>
      <c r="E12" s="4">
        <v>2</v>
      </c>
      <c r="F12" s="6" t="s">
        <v>168</v>
      </c>
      <c r="G12" s="6" t="s">
        <v>169</v>
      </c>
      <c r="H12" s="4" t="s">
        <v>154</v>
      </c>
    </row>
    <row r="13" spans="1:8" ht="32" customHeight="1" x14ac:dyDescent="0.45">
      <c r="A13" s="4" t="s">
        <v>90</v>
      </c>
      <c r="B13" s="4">
        <v>1</v>
      </c>
      <c r="C13" s="4">
        <v>0</v>
      </c>
      <c r="D13" s="4">
        <v>1</v>
      </c>
      <c r="E13" s="4">
        <v>1</v>
      </c>
      <c r="F13" s="6" t="s">
        <v>170</v>
      </c>
      <c r="G13" s="6" t="s">
        <v>170</v>
      </c>
      <c r="H13" s="4" t="s">
        <v>154</v>
      </c>
    </row>
    <row r="14" spans="1:8" ht="32" customHeight="1" x14ac:dyDescent="0.45">
      <c r="A14" s="4" t="s">
        <v>97</v>
      </c>
      <c r="B14" s="4">
        <v>1</v>
      </c>
      <c r="C14" s="4">
        <v>0</v>
      </c>
      <c r="D14" s="4">
        <v>0</v>
      </c>
      <c r="E14" s="4">
        <v>0</v>
      </c>
      <c r="F14" s="6" t="s">
        <v>171</v>
      </c>
      <c r="G14" s="6" t="s">
        <v>172</v>
      </c>
      <c r="H14" s="4" t="s">
        <v>165</v>
      </c>
    </row>
    <row r="15" spans="1:8" ht="32" customHeight="1" x14ac:dyDescent="0.45">
      <c r="A15" s="4" t="s">
        <v>104</v>
      </c>
      <c r="B15" s="4">
        <v>1</v>
      </c>
      <c r="C15" s="4">
        <v>0</v>
      </c>
      <c r="D15" s="4">
        <v>0</v>
      </c>
      <c r="E15" s="4">
        <v>0</v>
      </c>
      <c r="F15" s="6" t="s">
        <v>163</v>
      </c>
      <c r="G15" s="6" t="s">
        <v>163</v>
      </c>
      <c r="H15" s="4" t="s">
        <v>165</v>
      </c>
    </row>
    <row r="16" spans="1:8" ht="32" customHeight="1" x14ac:dyDescent="0.45">
      <c r="A16" s="4" t="s">
        <v>112</v>
      </c>
      <c r="B16" s="4">
        <v>1</v>
      </c>
      <c r="C16" s="4">
        <v>0</v>
      </c>
      <c r="D16" s="4">
        <v>1</v>
      </c>
      <c r="E16" s="4">
        <v>0</v>
      </c>
      <c r="F16" s="6" t="s">
        <v>173</v>
      </c>
      <c r="G16" s="6" t="s">
        <v>174</v>
      </c>
      <c r="H16" s="4" t="s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sqref="A1:B1"/>
    </sheetView>
  </sheetViews>
  <sheetFormatPr defaultRowHeight="14.25" x14ac:dyDescent="0.45"/>
  <cols>
    <col min="1" max="1" width="5" customWidth="1"/>
    <col min="2" max="2" width="20" customWidth="1"/>
    <col min="3" max="3" width="100" customWidth="1"/>
  </cols>
  <sheetData>
    <row r="1" spans="1:3" ht="21" x14ac:dyDescent="0.65">
      <c r="A1" s="36" t="s">
        <v>175</v>
      </c>
      <c r="B1" s="32"/>
    </row>
    <row r="3" spans="1:3" x14ac:dyDescent="0.45">
      <c r="A3" s="3" t="s">
        <v>8</v>
      </c>
      <c r="B3" s="3" t="s">
        <v>176</v>
      </c>
      <c r="C3" s="3" t="s">
        <v>177</v>
      </c>
    </row>
    <row r="4" spans="1:3" ht="40.049999999999997" customHeight="1" x14ac:dyDescent="0.45">
      <c r="A4" s="4">
        <v>1</v>
      </c>
      <c r="B4" s="29" t="s">
        <v>178</v>
      </c>
      <c r="C4" s="6" t="s">
        <v>179</v>
      </c>
    </row>
    <row r="5" spans="1:3" ht="40.049999999999997" customHeight="1" x14ac:dyDescent="0.45">
      <c r="A5" s="4">
        <v>2</v>
      </c>
      <c r="B5" s="29" t="s">
        <v>180</v>
      </c>
      <c r="C5" s="6" t="s">
        <v>181</v>
      </c>
    </row>
    <row r="6" spans="1:3" ht="40.049999999999997" customHeight="1" x14ac:dyDescent="0.45">
      <c r="A6" s="4">
        <v>3</v>
      </c>
      <c r="B6" s="29" t="s">
        <v>182</v>
      </c>
      <c r="C6" s="6" t="s">
        <v>183</v>
      </c>
    </row>
    <row r="7" spans="1:3" ht="40.049999999999997" customHeight="1" x14ac:dyDescent="0.45">
      <c r="A7" s="4">
        <v>4</v>
      </c>
      <c r="B7" s="29" t="s">
        <v>184</v>
      </c>
      <c r="C7" s="6" t="s">
        <v>185</v>
      </c>
    </row>
    <row r="8" spans="1:3" ht="40.049999999999997" customHeight="1" x14ac:dyDescent="0.45">
      <c r="A8" s="4">
        <v>5</v>
      </c>
      <c r="B8" s="29" t="s">
        <v>186</v>
      </c>
      <c r="C8" s="6" t="s">
        <v>187</v>
      </c>
    </row>
    <row r="9" spans="1:3" ht="40.049999999999997" customHeight="1" x14ac:dyDescent="0.45">
      <c r="A9" s="4">
        <v>6</v>
      </c>
      <c r="B9" s="29" t="s">
        <v>188</v>
      </c>
      <c r="C9" s="6" t="s">
        <v>189</v>
      </c>
    </row>
    <row r="10" spans="1:3" ht="40.049999999999997" customHeight="1" x14ac:dyDescent="0.45">
      <c r="A10" s="4">
        <v>7</v>
      </c>
      <c r="B10" s="29" t="s">
        <v>190</v>
      </c>
      <c r="C10" s="6" t="s">
        <v>191</v>
      </c>
    </row>
    <row r="11" spans="1:3" ht="40.049999999999997" customHeight="1" x14ac:dyDescent="0.45">
      <c r="A11" s="4">
        <v>8</v>
      </c>
      <c r="B11" s="29" t="s">
        <v>192</v>
      </c>
      <c r="C11" s="6" t="s">
        <v>193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25" x14ac:dyDescent="0.45"/>
  <cols>
    <col min="1" max="1" width="4" customWidth="1"/>
    <col min="2" max="2" width="110" customWidth="1"/>
  </cols>
  <sheetData>
    <row r="1" spans="1:2" ht="21" x14ac:dyDescent="0.65">
      <c r="A1" s="1" t="s">
        <v>194</v>
      </c>
    </row>
    <row r="3" spans="1:2" ht="28.05" customHeight="1" x14ac:dyDescent="0.45">
      <c r="A3" t="s">
        <v>195</v>
      </c>
      <c r="B3" s="19" t="s">
        <v>196</v>
      </c>
    </row>
    <row r="4" spans="1:2" ht="28.05" customHeight="1" x14ac:dyDescent="0.45">
      <c r="A4" t="s">
        <v>197</v>
      </c>
      <c r="B4" s="19" t="s">
        <v>198</v>
      </c>
    </row>
    <row r="5" spans="1:2" ht="28.05" customHeight="1" x14ac:dyDescent="0.45">
      <c r="A5" t="s">
        <v>199</v>
      </c>
      <c r="B5" s="19" t="s">
        <v>200</v>
      </c>
    </row>
    <row r="6" spans="1:2" ht="28.05" customHeight="1" x14ac:dyDescent="0.45">
      <c r="A6" t="s">
        <v>201</v>
      </c>
      <c r="B6" s="19" t="s">
        <v>202</v>
      </c>
    </row>
    <row r="7" spans="1:2" ht="28.05" customHeight="1" x14ac:dyDescent="0.45">
      <c r="A7" t="s">
        <v>203</v>
      </c>
      <c r="B7" s="19" t="s">
        <v>204</v>
      </c>
    </row>
    <row r="8" spans="1:2" ht="28.05" customHeight="1" x14ac:dyDescent="0.45">
      <c r="A8" t="s">
        <v>205</v>
      </c>
      <c r="B8" s="19" t="s">
        <v>206</v>
      </c>
    </row>
    <row r="9" spans="1:2" ht="28.05" customHeight="1" x14ac:dyDescent="0.45">
      <c r="A9" t="s">
        <v>207</v>
      </c>
      <c r="B9" s="19" t="s">
        <v>208</v>
      </c>
    </row>
    <row r="10" spans="1:2" ht="28.05" customHeight="1" x14ac:dyDescent="0.45">
      <c r="A10" t="s">
        <v>209</v>
      </c>
      <c r="B10" s="19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 Analitik Polres</vt:lpstr>
      <vt:lpstr>Ranking &amp; Chart</vt:lpstr>
      <vt:lpstr>Matriks Klaster</vt:lpstr>
      <vt:lpstr>Kasus LP per Polres</vt:lpstr>
      <vt:lpstr>Temuan Kunci</vt:lpstr>
      <vt:lpstr>Metodologi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Patron ID</cp:lastModifiedBy>
  <dcterms:created xsi:type="dcterms:W3CDTF">2026-08-03T08:58:38Z</dcterms:created>
  <dcterms:modified xsi:type="dcterms:W3CDTF">2026-08-03T09:19:59Z</dcterms:modified>
</cp:coreProperties>
</file>